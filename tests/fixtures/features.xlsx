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sts" sheetId="2" state="visible" r:id="rId2"/>
    <sheet name="Summary" sheetId="3" state="visible" r:id="rId3"/>
    <sheet name="Log" sheetId="4" state="visible" r:id="rId4"/>
    <sheet name="Pivot" sheetId="5" state="visible" r:id="rId5"/>
  </sheets>
  <externalReferences>
    <externalReference r:id="rIdExt1"/>
  </externalReferences>
  <definedNames>
    <definedName name="TaxRate">Lists!$B$1</definedName>
    <definedName name="_xlnm._FilterDatabase" localSheetId="3" hidden="1">'Log'!$A$1:$B$5</definedName>
  </definedNames>
  <calcPr calcId="124519" fullCalcOnLoad="1"/>
  <pivotCaches>
    <pivotCache cacheId="1" r:id="rIdPc1"/>
  </pivotCache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theme="4" tint="-0.24997711111789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  <bgColor rgb="00FFC7CE"/>
        </patternFill>
      </fill>
    </dxf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Ext1" Type="http://schemas.openxmlformats.org/officeDocument/2006/relationships/externalLink" Target="externalLinks/externalLink1.xml"/><Relationship Id="rIdPc1" Type="http://schemas.openxmlformats.org/officeDocument/2006/relationships/pivotCacheDefinition" Target="pivotCache/pivotCacheDefinition1.xml"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'Data'!F1</f>
            </strRef>
          </tx>
          <spPr>
            <a:ln>
              <a:prstDash val="solid"/>
            </a:ln>
          </spPr>
          <cat>
            <numRef>
              <f>'Data'!$A$2:$A$21</f>
            </numRef>
          </cat>
          <val>
            <numRef>
              <f>'Data'!$F$2:$F$21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Analyst</author>
  </authors>
  <commentList>
    <comment ref="A1" authorId="0" shapeId="0">
      <text>
        <t>Source: ERP export, weekly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file:///C:/Finance/Shared%20Models/Rat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Rates"/>
      <sheetName val="FX rates"/>
    </sheetNames>
    <sheetDataSet>
      <sheetData sheetId="0">
        <row r="2">
          <cell r="B2">
            <v>1.1</v>
          </cell>
        </row>
      </sheetData>
      <sheetData sheetId="1">
        <row r="3">
          <cell r="C3">
            <v>1000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createdVersion="6" refreshedVersion="6" minRefreshableVersion="3" recordCount="0">
  <cacheSource type="worksheet">
    <worksheetSource ref="A1:F21" sheet="Data"/>
  </cacheSource>
  <cacheFields count="6">
    <cacheField name="Date" numFmtId="14">
      <sharedItems containsSemiMixedTypes="0" containsNonDate="0" containsDate="1" containsString="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Widget"/>
        <s v="Gadget"/>
        <s v="Gizmo"/>
      </sharedItems>
    </cacheField>
    <cacheField name="Units" numFmtId="0">
      <sharedItems containsSemiMixedTypes="0" containsString="0" containsNumber="1"/>
    </cacheField>
    <cacheField name="Price" numFmtId="0">
      <sharedItems containsSemiMixedTypes="0" containsString="0" containsNumber="1"/>
    </cacheField>
    <cacheField name="Revenue" numFmtId="0">
      <sharedItems containsSemiMixedTypes="0" containsString="0" containsNumber="1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dataCaption="Values" updatedVersion="6" minRefreshableVersion="3" createdVersion="6" outline="1" outlineData="1">
  <location ref="A3:B8" firstHeaderRow="1" firstDataRow="1" firstDataCol="1" rowPageCount="1" colPageCount="1"/>
  <pivotFields count="6">
    <pivotField showAll="0"/>
    <pivotField axis="axisRow" showAll="0">
      <items count="5">
        <item x="0"/>
        <item x="1"/>
        <item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"/>
  </rowFields>
  <pageFields count="1">
    <pageField fld="2" hier="-1"/>
  </pageFields>
  <dataFields count="1">
    <dataField name="Sum of Revenue" fld="5" baseField="0" baseItem="0"/>
  </dataFields>
</pivotTableDefinition>
</file>

<file path=xl/tables/table1.xml><?xml version="1.0" encoding="utf-8"?>
<table xmlns="http://schemas.openxmlformats.org/spreadsheetml/2006/main" id="1" name="Sales" displayName="Sales" ref="A1:F21" headerRowCount="1">
  <autoFilter ref="A1:F21"/>
  <tableColumns count="6">
    <tableColumn id="1" name="Date"/>
    <tableColumn id="2" name="Region"/>
    <tableColumn id="3" name="Product"/>
    <tableColumn id="4" name="Units"/>
    <tableColumn id="5" name="Price"/>
    <tableColumn id="6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example.com/docs" TargetMode="External" Id="rId1" /><Relationship Type="http://schemas.openxmlformats.org/officeDocument/2006/relationships/drawing" Target="/xl/drawings/drawing1.xml" Id="rId2" /></Relationships>
</file>

<file path=xl/worksheets/_rels/sheet5.xml.rels><?xml version="1.0" encoding="UTF-8" standalone="yes"?>
<Relationships xmlns="http://schemas.openxmlformats.org/package/2006/relationships"><Relationship Id="rIdPt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Price</t>
        </is>
      </c>
      <c r="F1" s="1" t="inlineStr">
        <is>
          <t>Revenue</t>
        </is>
      </c>
      <c r="G1" t="inlineStr">
        <is>
          <t>internal id</t>
        </is>
      </c>
    </row>
    <row r="2">
      <c r="A2" s="2" t="n">
        <v>46027</v>
      </c>
      <c r="B2" t="inlineStr">
        <is>
          <t>North</t>
        </is>
      </c>
      <c r="C2" t="inlineStr">
        <is>
          <t>Widget</t>
        </is>
      </c>
      <c r="D2" t="n">
        <v>10</v>
      </c>
      <c r="E2" s="3" t="n">
        <v>2.5</v>
      </c>
      <c r="F2" s="3">
        <f>D2*E2</f>
        <v/>
      </c>
    </row>
    <row r="3">
      <c r="A3" s="2" t="n">
        <v>46034</v>
      </c>
      <c r="B3" t="inlineStr">
        <is>
          <t>South</t>
        </is>
      </c>
      <c r="C3" t="inlineStr">
        <is>
          <t>Gadget</t>
        </is>
      </c>
      <c r="D3" t="n">
        <v>17</v>
      </c>
      <c r="E3" s="3" t="n">
        <v>3.5</v>
      </c>
      <c r="F3" s="3">
        <f>D3*E3</f>
        <v/>
      </c>
    </row>
    <row r="4">
      <c r="A4" s="2" t="n">
        <v>46041</v>
      </c>
      <c r="B4" t="inlineStr">
        <is>
          <t>East</t>
        </is>
      </c>
      <c r="C4" t="inlineStr">
        <is>
          <t>Gizmo</t>
        </is>
      </c>
      <c r="D4" t="n">
        <v>24</v>
      </c>
      <c r="E4" s="3" t="n">
        <v>4.5</v>
      </c>
      <c r="F4" s="3">
        <f>D4*E4</f>
        <v/>
      </c>
    </row>
    <row r="5">
      <c r="A5" s="2" t="n">
        <v>46048</v>
      </c>
      <c r="B5" t="inlineStr">
        <is>
          <t>West</t>
        </is>
      </c>
      <c r="C5" t="inlineStr">
        <is>
          <t>Widget</t>
        </is>
      </c>
      <c r="D5" t="n">
        <v>31</v>
      </c>
      <c r="E5" s="3" t="n">
        <v>5.5</v>
      </c>
      <c r="F5" s="3">
        <f>D5*E5</f>
        <v/>
      </c>
    </row>
    <row r="6">
      <c r="A6" s="2" t="n">
        <v>46055</v>
      </c>
      <c r="B6" t="inlineStr">
        <is>
          <t>North</t>
        </is>
      </c>
      <c r="C6" t="inlineStr">
        <is>
          <t>Gadget</t>
        </is>
      </c>
      <c r="D6" t="n">
        <v>38</v>
      </c>
      <c r="E6" s="3" t="n">
        <v>6.5</v>
      </c>
      <c r="F6" s="3">
        <f>D6*E6</f>
        <v/>
      </c>
    </row>
    <row r="7">
      <c r="A7" s="2" t="n">
        <v>46062</v>
      </c>
      <c r="B7" t="inlineStr">
        <is>
          <t>South</t>
        </is>
      </c>
      <c r="C7" t="inlineStr">
        <is>
          <t>Gizmo</t>
        </is>
      </c>
      <c r="D7" t="n">
        <v>45</v>
      </c>
      <c r="E7" s="3" t="n">
        <v>7.5</v>
      </c>
      <c r="F7" s="3">
        <f>D7*E7</f>
        <v/>
      </c>
    </row>
    <row r="8">
      <c r="A8" s="2" t="n">
        <v>46069</v>
      </c>
      <c r="B8" t="inlineStr">
        <is>
          <t>East</t>
        </is>
      </c>
      <c r="C8" t="inlineStr">
        <is>
          <t>Widget</t>
        </is>
      </c>
      <c r="D8" t="n">
        <v>52</v>
      </c>
      <c r="E8" s="3" t="n">
        <v>8.5</v>
      </c>
      <c r="F8" s="3">
        <f>D8*E8</f>
        <v/>
      </c>
    </row>
    <row r="9">
      <c r="A9" s="2" t="n">
        <v>46076</v>
      </c>
      <c r="B9" t="inlineStr">
        <is>
          <t>West</t>
        </is>
      </c>
      <c r="C9" t="inlineStr">
        <is>
          <t>Gadget</t>
        </is>
      </c>
      <c r="D9" t="n">
        <v>59</v>
      </c>
      <c r="E9" s="3" t="n">
        <v>9.5</v>
      </c>
      <c r="F9" s="3">
        <f>D9*E9</f>
        <v/>
      </c>
    </row>
    <row r="10">
      <c r="A10" s="2" t="n">
        <v>46083</v>
      </c>
      <c r="B10" t="inlineStr">
        <is>
          <t>North</t>
        </is>
      </c>
      <c r="C10" t="inlineStr">
        <is>
          <t>Gizmo</t>
        </is>
      </c>
      <c r="D10" t="n">
        <v>66</v>
      </c>
      <c r="E10" s="3" t="n">
        <v>10.5</v>
      </c>
      <c r="F10" s="3">
        <f>D10*E10</f>
        <v/>
      </c>
    </row>
    <row r="11">
      <c r="A11" s="2" t="n">
        <v>46090</v>
      </c>
      <c r="B11" t="inlineStr">
        <is>
          <t>South</t>
        </is>
      </c>
      <c r="C11" t="inlineStr">
        <is>
          <t>Widget</t>
        </is>
      </c>
      <c r="D11" t="n">
        <v>73</v>
      </c>
      <c r="E11" s="3" t="n">
        <v>11.5</v>
      </c>
      <c r="F11" s="3">
        <f>D11*E11</f>
        <v/>
      </c>
    </row>
    <row r="12">
      <c r="A12" s="2" t="n">
        <v>46097</v>
      </c>
      <c r="B12" t="inlineStr">
        <is>
          <t>East</t>
        </is>
      </c>
      <c r="C12" t="inlineStr">
        <is>
          <t>Gadget</t>
        </is>
      </c>
      <c r="D12" t="n">
        <v>80</v>
      </c>
      <c r="E12" s="3" t="n">
        <v>12.5</v>
      </c>
      <c r="F12" s="3">
        <f>D12*E12</f>
        <v/>
      </c>
    </row>
    <row r="13">
      <c r="A13" s="2" t="n">
        <v>46104</v>
      </c>
      <c r="B13" t="inlineStr">
        <is>
          <t>West</t>
        </is>
      </c>
      <c r="C13" t="inlineStr">
        <is>
          <t>Gizmo</t>
        </is>
      </c>
      <c r="D13" t="n">
        <v>87</v>
      </c>
      <c r="E13" s="3" t="n">
        <v>13.5</v>
      </c>
      <c r="F13" s="3">
        <f>D13*E13</f>
        <v/>
      </c>
    </row>
    <row r="14">
      <c r="A14" s="2" t="n">
        <v>46111</v>
      </c>
      <c r="B14" t="inlineStr">
        <is>
          <t>North</t>
        </is>
      </c>
      <c r="C14" t="inlineStr">
        <is>
          <t>Widget</t>
        </is>
      </c>
      <c r="D14" t="n">
        <v>94</v>
      </c>
      <c r="E14" s="3" t="n">
        <v>14.5</v>
      </c>
      <c r="F14" s="3">
        <f>D14*E14</f>
        <v/>
      </c>
    </row>
    <row r="15">
      <c r="A15" s="2" t="n">
        <v>46118</v>
      </c>
      <c r="B15" t="inlineStr">
        <is>
          <t>South</t>
        </is>
      </c>
      <c r="C15" t="inlineStr">
        <is>
          <t>Gadget</t>
        </is>
      </c>
      <c r="D15" t="n">
        <v>101</v>
      </c>
      <c r="E15" s="3" t="n">
        <v>15.5</v>
      </c>
      <c r="F15" s="3">
        <f>D15*E15</f>
        <v/>
      </c>
    </row>
    <row r="16">
      <c r="A16" s="2" t="n">
        <v>46125</v>
      </c>
      <c r="B16" t="inlineStr">
        <is>
          <t>East</t>
        </is>
      </c>
      <c r="C16" t="inlineStr">
        <is>
          <t>Gizmo</t>
        </is>
      </c>
      <c r="D16" t="n">
        <v>108</v>
      </c>
      <c r="E16" s="3" t="n">
        <v>16.5</v>
      </c>
      <c r="F16" s="3">
        <f>D16*E16</f>
        <v/>
      </c>
    </row>
    <row r="17">
      <c r="A17" s="2" t="n">
        <v>46132</v>
      </c>
      <c r="B17" t="inlineStr">
        <is>
          <t>West</t>
        </is>
      </c>
      <c r="C17" t="inlineStr">
        <is>
          <t>Widget</t>
        </is>
      </c>
      <c r="D17" t="n">
        <v>115</v>
      </c>
      <c r="E17" s="3" t="n">
        <v>17.5</v>
      </c>
      <c r="F17" s="3">
        <f>D17*E17</f>
        <v/>
      </c>
    </row>
    <row r="18">
      <c r="A18" s="2" t="n">
        <v>46139</v>
      </c>
      <c r="B18" t="inlineStr">
        <is>
          <t>North</t>
        </is>
      </c>
      <c r="C18" t="inlineStr">
        <is>
          <t>Gadget</t>
        </is>
      </c>
      <c r="D18" t="n">
        <v>122</v>
      </c>
      <c r="E18" s="3" t="n">
        <v>18.5</v>
      </c>
      <c r="F18" s="3">
        <f>D18*E18</f>
        <v/>
      </c>
    </row>
    <row r="19">
      <c r="A19" s="2" t="n">
        <v>46146</v>
      </c>
      <c r="B19" t="inlineStr">
        <is>
          <t>South</t>
        </is>
      </c>
      <c r="C19" t="inlineStr">
        <is>
          <t>Gizmo</t>
        </is>
      </c>
      <c r="D19" t="n">
        <v>129</v>
      </c>
      <c r="E19" s="3" t="n">
        <v>19.5</v>
      </c>
      <c r="F19" s="3">
        <f>D19*E19</f>
        <v/>
      </c>
    </row>
    <row r="20">
      <c r="A20" s="2" t="n">
        <v>46153</v>
      </c>
      <c r="B20" t="inlineStr">
        <is>
          <t>East</t>
        </is>
      </c>
      <c r="C20" t="inlineStr">
        <is>
          <t>Widget</t>
        </is>
      </c>
      <c r="D20" t="n">
        <v>136</v>
      </c>
      <c r="E20" s="3" t="n">
        <v>20.5</v>
      </c>
      <c r="F20" s="3">
        <f>D20*E20</f>
        <v/>
      </c>
    </row>
    <row r="21">
      <c r="A21" s="2" t="n">
        <v>46160</v>
      </c>
      <c r="B21" t="inlineStr">
        <is>
          <t>West</t>
        </is>
      </c>
      <c r="C21" t="inlineStr">
        <is>
          <t>Gadget</t>
        </is>
      </c>
      <c r="D21" t="n">
        <v>143</v>
      </c>
      <c r="E21" s="3" t="n">
        <v>21.5</v>
      </c>
      <c r="F21" s="3">
        <f>D21*E21</f>
        <v/>
      </c>
    </row>
  </sheetData>
  <conditionalFormatting sqref="F2:F21">
    <cfRule type="cellIs" priority="1" operator="lessThan" dxfId="0">
      <formula>0</formula>
    </cfRule>
  </conditionalFormatting>
  <conditionalFormatting sqref="D2:D21">
    <cfRule type="colorScale" priority="2">
      <colorScale>
        <cfvo type="min"/>
        <cfvo type="max"/>
        <color rgb="00F8696B"/>
        <color rgb="0063BE7B"/>
      </colorScale>
    </cfRule>
  </conditionalFormatting>
  <conditionalFormatting sqref="A2:F21">
    <cfRule type="expression" priority="3" dxfId="1">
      <formula>$D2&gt;150</formula>
    </cfRule>
  </conditionalFormatting>
  <conditionalFormatting sqref="E2:E21">
    <cfRule type="dataBar" priority="4">
      <dataBar>
        <cfvo type="min"/>
        <cfvo type="max"/>
        <color rgb="00638EC6"/>
      </dataBar>
    </cfRule>
  </conditionalFormatting>
  <dataValidations count="3">
    <dataValidation sqref="B2:B1048576" showDropDown="0" showInputMessage="0" showErrorMessage="0" allowBlank="1" type="list">
      <formula1>"North,South,East,West"</formula1>
    </dataValidation>
    <dataValidation sqref="D2:D21" showDropDown="0" showInputMessage="0" showErrorMessage="1" allowBlank="0" promptTitle="Units" prompt="Whole units, 0-1000" type="whole" operator="between">
      <formula1>0</formula1>
      <formula2>1000</formula2>
    </dataValidation>
    <dataValidation sqref="C2:C21" showDropDown="0" showInputMessage="0" showErrorMessage="0" allowBlank="0" type="list">
      <formula1>Lists!$A$1:$A$3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Widget</t>
        </is>
      </c>
      <c r="B1" s="4" t="n">
        <v>0.08</v>
      </c>
    </row>
    <row r="2">
      <c r="A2" t="inlineStr">
        <is>
          <t>Gadget</t>
        </is>
      </c>
    </row>
    <row r="3">
      <c r="A3" t="inlineStr">
        <is>
          <t>Gizmo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revenue</t>
        </is>
      </c>
      <c r="B1">
        <f>SUM(Sales[Revenue])</f>
        <v/>
      </c>
    </row>
    <row r="2">
      <c r="A2" t="inlineStr">
        <is>
          <t>North revenue</t>
        </is>
      </c>
      <c r="B2">
        <f>SUMIF(Data!B:B,"North",Data!F:F)</f>
        <v/>
      </c>
    </row>
    <row r="3">
      <c r="A3" t="inlineStr">
        <is>
          <t>Tax</t>
        </is>
      </c>
      <c r="B3">
        <f>B1*TaxRate</f>
        <v/>
      </c>
    </row>
    <row r="4">
      <c r="A4" t="inlineStr">
        <is>
          <t>FX rate (linked)</t>
        </is>
      </c>
      <c r="B4">
        <f>[1]Rates!B2*2</f>
        <v/>
      </c>
    </row>
    <row r="5">
      <c r="A5" t="inlineStr">
        <is>
          <t>Budget (linked)</t>
        </is>
      </c>
      <c r="B5">
        <f>'[1]FX rates'!$C$3+B1</f>
        <v/>
      </c>
    </row>
    <row r="8" hidden="1">
      <c r="A8" t="inlineStr">
        <is>
          <t>hidden row</t>
        </is>
      </c>
    </row>
    <row r="10">
      <c r="A10" t="inlineStr">
        <is>
          <t>Docs</t>
        </is>
      </c>
    </row>
    <row r="11">
      <c r="A11" t="inlineStr">
        <is>
          <t>Back to data</t>
        </is>
      </c>
    </row>
  </sheetData>
  <hyperlinks>
    <hyperlink xmlns:r="http://schemas.openxmlformats.org/officeDocument/2006/relationships" ref="A10" r:id="rId1"/>
    <hyperlink ref="A11" location="Data!A1"/>
  </hyperlinks>
  <pageMargins left="0.75" right="0.75" top="1" bottom="1" header="0.5" footer="0.5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Owner</t>
        </is>
      </c>
    </row>
    <row r="2">
      <c r="A2" t="inlineStr">
        <is>
          <t>open</t>
        </is>
      </c>
      <c r="B2" t="inlineStr">
        <is>
          <t>Ana</t>
        </is>
      </c>
    </row>
    <row r="3">
      <c r="A3" t="inlineStr">
        <is>
          <t>done</t>
        </is>
      </c>
      <c r="B3" t="inlineStr">
        <is>
          <t>Ben</t>
        </is>
      </c>
    </row>
    <row r="4">
      <c r="A4" t="inlineStr">
        <is>
          <t>open</t>
        </is>
      </c>
      <c r="B4" t="inlineStr">
        <is>
          <t>Cy</t>
        </is>
      </c>
    </row>
    <row r="5">
      <c r="A5" t="inlineStr">
        <is>
          <t>blocked</t>
        </is>
      </c>
      <c r="B5" t="inlineStr">
        <is>
          <t>Ana</t>
        </is>
      </c>
    </row>
  </sheetData>
  <autoFilter ref="A1:B5">
    <filterColumn colId="0" hiddenButton="0" showButton="1">
      <filters blank="0">
        <filter val="open"/>
        <filter val="blocked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(All)</t>
        </is>
      </c>
    </row>
    <row r="3">
      <c r="A3" t="inlineStr">
        <is>
          <t>Row Labels</t>
        </is>
      </c>
      <c r="B3" t="inlineStr">
        <is>
          <t>Sum of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2026-10-27T01:33:38Z</dcterms:created>
  <dcterms:modified xsi:type="dcterms:W3CDTF">2026-10-27T01:33:38Z</dcterms:modified>
</cp:coreProperties>
</file>